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ITD\FOF_MONSOON_25\QUIZZES\"/>
    </mc:Choice>
  </mc:AlternateContent>
  <xr:revisionPtr revIDLastSave="0" documentId="13_ncr:1_{12FC2FE2-1190-4513-9A05-D0D7C8EE1846}" xr6:coauthVersionLast="47" xr6:coauthVersionMax="47" xr10:uidLastSave="{00000000-0000-0000-0000-000000000000}"/>
  <bookViews>
    <workbookView xWindow="-108" yWindow="-108" windowWidth="23256" windowHeight="12456" xr2:uid="{BBECBBF6-3AC1-4565-AA2A-28C2358B26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2" i="1" l="1"/>
  <c r="D102" i="1"/>
  <c r="J100" i="1" s="1"/>
  <c r="B102" i="1"/>
  <c r="J99" i="1" s="1"/>
  <c r="J101" i="1"/>
  <c r="F82" i="1"/>
  <c r="E82" i="1"/>
  <c r="D82" i="1"/>
  <c r="C82" i="1"/>
  <c r="B82" i="1"/>
  <c r="J76" i="1" s="1"/>
  <c r="J75" i="1"/>
  <c r="J74" i="1"/>
  <c r="J73" i="1"/>
  <c r="F66" i="1"/>
  <c r="J65" i="1" s="1"/>
  <c r="D66" i="1"/>
  <c r="J64" i="1" s="1"/>
  <c r="B66" i="1"/>
  <c r="J63" i="1" s="1"/>
  <c r="F46" i="1"/>
  <c r="J37" i="1" s="1"/>
  <c r="E46" i="1"/>
  <c r="D46" i="1"/>
  <c r="C46" i="1"/>
  <c r="B46" i="1"/>
  <c r="J40" i="1" s="1"/>
  <c r="J39" i="1"/>
  <c r="J38" i="1"/>
  <c r="F32" i="1"/>
  <c r="J31" i="1" s="1"/>
  <c r="D32" i="1"/>
  <c r="J30" i="1" s="1"/>
  <c r="B32" i="1"/>
  <c r="J29" i="1" s="1"/>
  <c r="F12" i="1"/>
  <c r="J3" i="1" s="1"/>
  <c r="E12" i="1"/>
  <c r="J4" i="1" s="1"/>
  <c r="D12" i="1"/>
  <c r="J5" i="1" s="1"/>
  <c r="C12" i="1"/>
  <c r="B12" i="1"/>
  <c r="J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Pankaj V</author>
  </authors>
  <commentList>
    <comment ref="G11" authorId="0" shapeId="0" xr:uid="{142CDFFC-FE64-4169-A642-AE1CE615485E}">
      <text>
        <r>
          <rPr>
            <b/>
            <sz val="9"/>
            <color indexed="81"/>
            <rFont val="Tahoma"/>
            <family val="2"/>
          </rPr>
          <t>Pankaj V: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5" authorId="0" shapeId="0" xr:uid="{4D11FE39-937B-4C5C-85D2-1050FFDD22BF}">
      <text>
        <r>
          <rPr>
            <b/>
            <sz val="9"/>
            <color indexed="81"/>
            <rFont val="Tahoma"/>
            <family val="2"/>
          </rPr>
          <t>Pankaj V: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1" authorId="0" shapeId="0" xr:uid="{3AA1BE16-41AD-4A43-9C7B-AB1785492E4B}">
      <text>
        <r>
          <rPr>
            <b/>
            <sz val="9"/>
            <color indexed="81"/>
            <rFont val="Tahoma"/>
            <family val="2"/>
          </rPr>
          <t>Pankaj V: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<sst xmlns="http://schemas.openxmlformats.org/spreadsheetml/2006/main" count="175" uniqueCount="63">
  <si>
    <t>Assets</t>
  </si>
  <si>
    <t>Liabilities</t>
  </si>
  <si>
    <t>Owner’s Equity</t>
  </si>
  <si>
    <t>Cash</t>
  </si>
  <si>
    <t>Inventory</t>
  </si>
  <si>
    <t>Equipment</t>
  </si>
  <si>
    <t>Accounts payable</t>
  </si>
  <si>
    <t>Share Capital</t>
  </si>
  <si>
    <t>Opening balance</t>
  </si>
  <si>
    <t>A</t>
  </si>
  <si>
    <t>Salary</t>
  </si>
  <si>
    <t>B</t>
  </si>
  <si>
    <t>C</t>
  </si>
  <si>
    <t>D</t>
  </si>
  <si>
    <t>Income</t>
  </si>
  <si>
    <t>E</t>
  </si>
  <si>
    <t>Courier</t>
  </si>
  <si>
    <t>F</t>
  </si>
  <si>
    <t>Balance</t>
  </si>
  <si>
    <t>Inventory expense*</t>
  </si>
  <si>
    <r>
      <rPr>
        <sz val="7"/>
        <color theme="1"/>
        <rFont val="Times New Roman"/>
        <family val="1"/>
      </rPr>
      <t xml:space="preserve">*   </t>
    </r>
    <r>
      <rPr>
        <sz val="11"/>
        <color theme="1"/>
        <rFont val="Calibri"/>
        <family val="2"/>
        <scheme val="minor"/>
      </rPr>
      <t>6,000 (beginning inventory)-2,750 (ending inventory) = Rs.3,250 (amount used)</t>
    </r>
  </si>
  <si>
    <t>Share Capital (Owner’s equity)</t>
  </si>
  <si>
    <t>Plant and Equipment</t>
  </si>
  <si>
    <t>Ques 1</t>
  </si>
  <si>
    <t>Ques 2</t>
  </si>
  <si>
    <t>Cash Flow from operations</t>
  </si>
  <si>
    <t>-60,000-40,000-20,000+1,50,000 = Rs.30,000</t>
  </si>
  <si>
    <t>Ques 3</t>
  </si>
  <si>
    <t>A/c Payable</t>
  </si>
  <si>
    <t>A/c receivable</t>
  </si>
  <si>
    <t>Deposit</t>
  </si>
  <si>
    <t>Rent</t>
  </si>
  <si>
    <t>Commission</t>
  </si>
  <si>
    <t>Stationery</t>
  </si>
  <si>
    <t>Computer</t>
  </si>
  <si>
    <t>Service Fee</t>
  </si>
  <si>
    <t>Calculator</t>
  </si>
  <si>
    <t>Fee</t>
  </si>
  <si>
    <t>Advance</t>
  </si>
  <si>
    <t xml:space="preserve">Salary </t>
  </si>
  <si>
    <t>Utilities</t>
  </si>
  <si>
    <t>Magazine</t>
  </si>
  <si>
    <t>What was the cash balance at the end of the month?</t>
  </si>
  <si>
    <t>What was the accounts payable balance?</t>
  </si>
  <si>
    <t>What was the accounts receivable balance?</t>
  </si>
  <si>
    <t>Variant A</t>
  </si>
  <si>
    <t>Variant B</t>
  </si>
  <si>
    <t>Variant C</t>
  </si>
  <si>
    <t>Variant D</t>
  </si>
  <si>
    <t>Variant E</t>
  </si>
  <si>
    <t>Variant F</t>
  </si>
  <si>
    <t>Qs 1</t>
  </si>
  <si>
    <t>Qs 2</t>
  </si>
  <si>
    <t>Cash Flow from Operations</t>
  </si>
  <si>
    <t>Qs 3</t>
  </si>
  <si>
    <t>-60,000-30,000-20,000+1,50,000 = Rs.40,000</t>
  </si>
  <si>
    <t>Variant A, D</t>
  </si>
  <si>
    <t>Variant B, E</t>
  </si>
  <si>
    <t>Variant C, F</t>
  </si>
  <si>
    <t>-60,000-40,000-10,000+1,60,000 = Rs.50,000</t>
  </si>
  <si>
    <t>2 marks</t>
  </si>
  <si>
    <t>1x4=4 marks</t>
  </si>
  <si>
    <t>1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</si>
</sst>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.5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Dashed">
        <color indexed="64"/>
      </right>
      <top style="thick">
        <color indexed="64"/>
      </top>
      <bottom style="mediumDashed">
        <color indexed="64"/>
      </bottom>
      <diagonal/>
    </border>
    <border>
      <left/>
      <right style="thick">
        <color indexed="64"/>
      </right>
      <top style="thick">
        <color indexed="64"/>
      </top>
      <bottom style="mediumDashed">
        <color indexed="64"/>
      </bottom>
      <diagonal/>
    </border>
    <border>
      <left style="thick">
        <color indexed="64"/>
      </left>
      <right style="mediumDashed">
        <color indexed="64"/>
      </right>
      <top/>
      <bottom style="mediumDashed">
        <color indexed="64"/>
      </bottom>
      <diagonal/>
    </border>
    <border>
      <left/>
      <right style="thick">
        <color indexed="64"/>
      </right>
      <top/>
      <bottom style="mediumDashed">
        <color indexed="64"/>
      </bottom>
      <diagonal/>
    </border>
    <border>
      <left style="thick">
        <color indexed="64"/>
      </left>
      <right style="mediumDashed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3" fontId="2" fillId="0" borderId="5" xfId="0" applyNumberFormat="1" applyFont="1" applyBorder="1" applyAlignment="1">
      <alignment vertical="center" wrapText="1"/>
    </xf>
    <xf numFmtId="3" fontId="3" fillId="0" borderId="5" xfId="0" applyNumberFormat="1" applyFont="1" applyBorder="1" applyAlignment="1">
      <alignment vertical="center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8" fillId="0" borderId="7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3" fontId="8" fillId="0" borderId="8" xfId="0" applyNumberFormat="1" applyFont="1" applyBorder="1" applyAlignment="1">
      <alignment vertical="center" wrapText="1"/>
    </xf>
    <xf numFmtId="3" fontId="8" fillId="0" borderId="10" xfId="0" applyNumberFormat="1" applyFont="1" applyBorder="1" applyAlignment="1">
      <alignment vertical="center" wrapText="1"/>
    </xf>
    <xf numFmtId="3" fontId="8" fillId="0" borderId="12" xfId="0" applyNumberFormat="1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9" fillId="0" borderId="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2" fillId="0" borderId="0" xfId="0" applyFont="1"/>
    <xf numFmtId="0" fontId="2" fillId="0" borderId="17" xfId="0" applyFont="1" applyBorder="1"/>
    <xf numFmtId="0" fontId="0" fillId="0" borderId="0" xfId="0" quotePrefix="1" applyAlignment="1">
      <alignment vertical="center"/>
    </xf>
    <xf numFmtId="0" fontId="3" fillId="0" borderId="14" xfId="0" applyFont="1" applyBorder="1"/>
    <xf numFmtId="0" fontId="3" fillId="2" borderId="14" xfId="0" applyFont="1" applyFill="1" applyBorder="1"/>
    <xf numFmtId="0" fontId="2" fillId="2" borderId="17" xfId="0" applyFont="1" applyFill="1" applyBorder="1"/>
    <xf numFmtId="0" fontId="3" fillId="2" borderId="15" xfId="0" applyFont="1" applyFill="1" applyBorder="1"/>
    <xf numFmtId="0" fontId="2" fillId="2" borderId="18" xfId="0" applyFont="1" applyFill="1" applyBorder="1"/>
    <xf numFmtId="164" fontId="2" fillId="0" borderId="17" xfId="1" applyNumberFormat="1" applyFont="1" applyBorder="1" applyAlignment="1">
      <alignment vertical="center"/>
    </xf>
    <xf numFmtId="164" fontId="2" fillId="2" borderId="17" xfId="1" applyNumberFormat="1" applyFont="1" applyFill="1" applyBorder="1" applyAlignment="1">
      <alignment vertical="center"/>
    </xf>
    <xf numFmtId="164" fontId="2" fillId="2" borderId="18" xfId="1" applyNumberFormat="1" applyFont="1" applyFill="1" applyBorder="1" applyAlignment="1">
      <alignment vertical="center"/>
    </xf>
    <xf numFmtId="164" fontId="2" fillId="0" borderId="20" xfId="1" applyNumberFormat="1" applyFont="1" applyBorder="1" applyAlignment="1">
      <alignment vertical="center"/>
    </xf>
    <xf numFmtId="164" fontId="2" fillId="2" borderId="20" xfId="1" applyNumberFormat="1" applyFont="1" applyFill="1" applyBorder="1" applyAlignment="1">
      <alignment vertical="center"/>
    </xf>
    <xf numFmtId="164" fontId="2" fillId="2" borderId="21" xfId="1" applyNumberFormat="1" applyFont="1" applyFill="1" applyBorder="1" applyAlignment="1">
      <alignment vertical="center"/>
    </xf>
    <xf numFmtId="0" fontId="3" fillId="3" borderId="16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vertical="center" wrapText="1"/>
    </xf>
    <xf numFmtId="0" fontId="3" fillId="4" borderId="13" xfId="0" applyFont="1" applyFill="1" applyBorder="1"/>
    <xf numFmtId="0" fontId="3" fillId="4" borderId="16" xfId="0" applyFont="1" applyFill="1" applyBorder="1" applyAlignment="1">
      <alignment vertical="center"/>
    </xf>
    <xf numFmtId="164" fontId="2" fillId="4" borderId="17" xfId="1" applyNumberFormat="1" applyFont="1" applyFill="1" applyBorder="1" applyAlignment="1">
      <alignment vertical="center"/>
    </xf>
    <xf numFmtId="164" fontId="2" fillId="4" borderId="18" xfId="1" applyNumberFormat="1" applyFont="1" applyFill="1" applyBorder="1" applyAlignment="1">
      <alignment vertical="center"/>
    </xf>
    <xf numFmtId="0" fontId="11" fillId="3" borderId="16" xfId="0" applyFont="1" applyFill="1" applyBorder="1" applyAlignment="1">
      <alignment vertical="center" wrapText="1"/>
    </xf>
    <xf numFmtId="0" fontId="11" fillId="3" borderId="16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2</xdr:row>
      <xdr:rowOff>30480</xdr:rowOff>
    </xdr:from>
    <xdr:to>
      <xdr:col>7</xdr:col>
      <xdr:colOff>388620</xdr:colOff>
      <xdr:row>5</xdr:row>
      <xdr:rowOff>358140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EE6F3477-EA59-45C5-88D1-C74ACE662610}"/>
            </a:ext>
          </a:extLst>
        </xdr:cNvPr>
        <xdr:cNvSpPr/>
      </xdr:nvSpPr>
      <xdr:spPr>
        <a:xfrm>
          <a:off x="7559040" y="655320"/>
          <a:ext cx="175260" cy="147066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228600</xdr:colOff>
      <xdr:row>6</xdr:row>
      <xdr:rowOff>304800</xdr:rowOff>
    </xdr:from>
    <xdr:to>
      <xdr:col>7</xdr:col>
      <xdr:colOff>274319</xdr:colOff>
      <xdr:row>8</xdr:row>
      <xdr:rowOff>68580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6E981523-A1DB-57E5-9250-73B5FFC584EA}"/>
            </a:ext>
          </a:extLst>
        </xdr:cNvPr>
        <xdr:cNvSpPr/>
      </xdr:nvSpPr>
      <xdr:spPr>
        <a:xfrm>
          <a:off x="7574280" y="2453640"/>
          <a:ext cx="45719" cy="5257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152400</xdr:colOff>
      <xdr:row>9</xdr:row>
      <xdr:rowOff>373380</xdr:rowOff>
    </xdr:from>
    <xdr:to>
      <xdr:col>7</xdr:col>
      <xdr:colOff>426720</xdr:colOff>
      <xdr:row>11</xdr:row>
      <xdr:rowOff>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98DE32EF-CCBE-430E-A69A-5A8BBAFD2200}"/>
            </a:ext>
          </a:extLst>
        </xdr:cNvPr>
        <xdr:cNvSpPr/>
      </xdr:nvSpPr>
      <xdr:spPr>
        <a:xfrm>
          <a:off x="7498080" y="3665220"/>
          <a:ext cx="274320" cy="3886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274320</xdr:colOff>
      <xdr:row>12</xdr:row>
      <xdr:rowOff>7620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4197EC70-4200-4B57-83D0-EF68EB385040}"/>
            </a:ext>
          </a:extLst>
        </xdr:cNvPr>
        <xdr:cNvSpPr/>
      </xdr:nvSpPr>
      <xdr:spPr>
        <a:xfrm>
          <a:off x="7345680" y="4053840"/>
          <a:ext cx="274320" cy="3886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7</xdr:col>
      <xdr:colOff>274320</xdr:colOff>
      <xdr:row>13</xdr:row>
      <xdr:rowOff>7620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2FF40D92-6D84-44C3-A18C-5BBB97E77156}"/>
            </a:ext>
          </a:extLst>
        </xdr:cNvPr>
        <xdr:cNvSpPr/>
      </xdr:nvSpPr>
      <xdr:spPr>
        <a:xfrm>
          <a:off x="7345680" y="4434840"/>
          <a:ext cx="274320" cy="3886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BBAC-9DCA-4A13-A2C9-A924671DB738}">
  <dimension ref="A1:J102"/>
  <sheetViews>
    <sheetView tabSelected="1" workbookViewId="0">
      <selection activeCell="A20" sqref="A20"/>
    </sheetView>
  </sheetViews>
  <sheetFormatPr defaultRowHeight="14.4" x14ac:dyDescent="0.3"/>
  <cols>
    <col min="1" max="1" width="11.21875" customWidth="1"/>
    <col min="4" max="4" width="11.5546875" customWidth="1"/>
    <col min="5" max="5" width="13.109375" customWidth="1"/>
    <col min="6" max="6" width="10" customWidth="1"/>
    <col min="7" max="7" width="17.33203125" customWidth="1"/>
    <col min="9" max="9" width="32.21875" customWidth="1"/>
  </cols>
  <sheetData>
    <row r="1" spans="1:10" ht="25.8" x14ac:dyDescent="0.5">
      <c r="A1" s="50" t="s">
        <v>56</v>
      </c>
    </row>
    <row r="2" spans="1:10" ht="15" thickBot="1" x14ac:dyDescent="0.35">
      <c r="A2" s="17" t="s">
        <v>23</v>
      </c>
    </row>
    <row r="3" spans="1:10" ht="33" customHeight="1" thickTop="1" thickBot="1" x14ac:dyDescent="0.35">
      <c r="A3" s="1"/>
      <c r="B3" s="47" t="s">
        <v>0</v>
      </c>
      <c r="C3" s="48"/>
      <c r="D3" s="49"/>
      <c r="E3" s="2" t="s">
        <v>1</v>
      </c>
      <c r="F3" s="2" t="s">
        <v>2</v>
      </c>
      <c r="G3" s="2"/>
      <c r="I3" s="11" t="s">
        <v>21</v>
      </c>
      <c r="J3" s="14">
        <f>F12</f>
        <v>74750</v>
      </c>
    </row>
    <row r="4" spans="1:10" ht="30.6" thickBot="1" x14ac:dyDescent="0.35">
      <c r="A4" s="3"/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/>
      <c r="I4" s="12" t="s">
        <v>6</v>
      </c>
      <c r="J4" s="15">
        <f>E12</f>
        <v>41000</v>
      </c>
    </row>
    <row r="5" spans="1:10" ht="30" customHeight="1" thickBot="1" x14ac:dyDescent="0.35">
      <c r="A5" s="3" t="s">
        <v>8</v>
      </c>
      <c r="B5" s="7">
        <v>54000</v>
      </c>
      <c r="C5" s="7">
        <v>6000</v>
      </c>
      <c r="D5" s="7">
        <v>32000</v>
      </c>
      <c r="E5" s="7">
        <v>30000</v>
      </c>
      <c r="F5" s="7">
        <v>62000</v>
      </c>
      <c r="G5" s="5"/>
      <c r="I5" s="12" t="s">
        <v>22</v>
      </c>
      <c r="J5" s="15">
        <f>D12</f>
        <v>63000</v>
      </c>
    </row>
    <row r="6" spans="1:10" ht="15.6" thickBot="1" x14ac:dyDescent="0.35">
      <c r="A6" s="3" t="s">
        <v>9</v>
      </c>
      <c r="B6" s="7">
        <v>-6000</v>
      </c>
      <c r="C6" s="5"/>
      <c r="D6" s="5"/>
      <c r="E6" s="5"/>
      <c r="F6" s="5">
        <v>-6000</v>
      </c>
      <c r="G6" s="5" t="s">
        <v>10</v>
      </c>
      <c r="I6" s="13" t="s">
        <v>3</v>
      </c>
      <c r="J6" s="16">
        <f>B12</f>
        <v>50000</v>
      </c>
    </row>
    <row r="7" spans="1:10" ht="15" thickBot="1" x14ac:dyDescent="0.35">
      <c r="A7" s="3" t="s">
        <v>11</v>
      </c>
      <c r="B7" s="7">
        <v>-20000</v>
      </c>
      <c r="C7" s="5"/>
      <c r="D7" s="5"/>
      <c r="E7" s="7">
        <v>-20000</v>
      </c>
      <c r="F7" s="5"/>
      <c r="G7" s="5"/>
    </row>
    <row r="8" spans="1:10" ht="15" thickBot="1" x14ac:dyDescent="0.35">
      <c r="A8" s="3" t="s">
        <v>12</v>
      </c>
      <c r="B8" s="5"/>
      <c r="C8" s="5"/>
      <c r="D8" s="7">
        <v>31000</v>
      </c>
      <c r="E8" s="7">
        <v>31000</v>
      </c>
      <c r="F8" s="5"/>
      <c r="G8" s="5"/>
    </row>
    <row r="9" spans="1:10" ht="15" thickBot="1" x14ac:dyDescent="0.35">
      <c r="A9" s="3" t="s">
        <v>13</v>
      </c>
      <c r="B9" s="7">
        <v>36000</v>
      </c>
      <c r="C9" s="5"/>
      <c r="D9" s="5"/>
      <c r="E9" s="5"/>
      <c r="F9" s="7">
        <v>36000</v>
      </c>
      <c r="G9" s="5" t="s">
        <v>14</v>
      </c>
    </row>
    <row r="10" spans="1:10" ht="15" thickBot="1" x14ac:dyDescent="0.35">
      <c r="A10" s="3" t="s">
        <v>15</v>
      </c>
      <c r="B10" s="7">
        <v>-14000</v>
      </c>
      <c r="C10" s="5"/>
      <c r="D10" s="5"/>
      <c r="E10" s="5"/>
      <c r="F10" s="7">
        <v>-14000</v>
      </c>
      <c r="G10" s="5" t="s">
        <v>16</v>
      </c>
    </row>
    <row r="11" spans="1:10" ht="28.2" thickBot="1" x14ac:dyDescent="0.35">
      <c r="A11" s="3" t="s">
        <v>17</v>
      </c>
      <c r="B11" s="5"/>
      <c r="C11" s="5">
        <v>-3250</v>
      </c>
      <c r="D11" s="5"/>
      <c r="E11" s="5"/>
      <c r="F11" s="5">
        <v>-3250</v>
      </c>
      <c r="G11" s="5" t="s">
        <v>19</v>
      </c>
    </row>
    <row r="12" spans="1:10" ht="15" thickBot="1" x14ac:dyDescent="0.35">
      <c r="A12" s="3" t="s">
        <v>18</v>
      </c>
      <c r="B12" s="8">
        <f>SUM(B5:B11)</f>
        <v>50000</v>
      </c>
      <c r="C12" s="8">
        <f t="shared" ref="C12:F12" si="0">SUM(C5:C11)</f>
        <v>2750</v>
      </c>
      <c r="D12" s="8">
        <f t="shared" si="0"/>
        <v>63000</v>
      </c>
      <c r="E12" s="8">
        <f t="shared" si="0"/>
        <v>41000</v>
      </c>
      <c r="F12" s="8">
        <f t="shared" si="0"/>
        <v>74750</v>
      </c>
      <c r="G12" s="5"/>
    </row>
    <row r="13" spans="1:10" x14ac:dyDescent="0.3">
      <c r="A13" s="9" t="s">
        <v>20</v>
      </c>
      <c r="B13" s="10"/>
      <c r="C13" s="10"/>
      <c r="D13" s="10"/>
      <c r="E13" s="10"/>
      <c r="F13" s="10"/>
      <c r="G13" s="10"/>
      <c r="H13" s="10"/>
    </row>
    <row r="15" spans="1:10" x14ac:dyDescent="0.3">
      <c r="A15" s="18" t="s">
        <v>24</v>
      </c>
    </row>
    <row r="17" spans="1:10" x14ac:dyDescent="0.3">
      <c r="A17" s="19" t="s">
        <v>25</v>
      </c>
    </row>
    <row r="18" spans="1:10" x14ac:dyDescent="0.3">
      <c r="A18" s="19" t="s">
        <v>26</v>
      </c>
    </row>
    <row r="20" spans="1:10" ht="15" thickBot="1" x14ac:dyDescent="0.35">
      <c r="A20" s="17" t="s">
        <v>27</v>
      </c>
    </row>
    <row r="21" spans="1:10" ht="15" thickBot="1" x14ac:dyDescent="0.35">
      <c r="A21" s="45" t="s">
        <v>3</v>
      </c>
      <c r="B21" s="46"/>
      <c r="C21" s="45" t="s">
        <v>28</v>
      </c>
      <c r="D21" s="46"/>
      <c r="E21" s="45" t="s">
        <v>29</v>
      </c>
      <c r="F21" s="46"/>
    </row>
    <row r="22" spans="1:10" ht="15" thickBot="1" x14ac:dyDescent="0.35">
      <c r="A22" s="3"/>
      <c r="B22" s="6">
        <v>1000000</v>
      </c>
      <c r="C22" s="4"/>
      <c r="D22" s="4"/>
      <c r="E22" s="4"/>
      <c r="F22" s="4"/>
    </row>
    <row r="23" spans="1:10" ht="29.4" customHeight="1" thickBot="1" x14ac:dyDescent="0.35">
      <c r="A23" s="3" t="s">
        <v>30</v>
      </c>
      <c r="B23" s="6">
        <v>-60000</v>
      </c>
      <c r="C23" s="4" t="s">
        <v>31</v>
      </c>
      <c r="D23" s="6">
        <v>20000</v>
      </c>
      <c r="E23" s="4" t="s">
        <v>32</v>
      </c>
      <c r="F23" s="6">
        <v>2000</v>
      </c>
    </row>
    <row r="24" spans="1:10" ht="29.4" thickBot="1" x14ac:dyDescent="0.35">
      <c r="A24" s="3" t="s">
        <v>33</v>
      </c>
      <c r="B24" s="6">
        <v>-6000</v>
      </c>
      <c r="C24" s="4" t="s">
        <v>34</v>
      </c>
      <c r="D24" s="6">
        <v>234000</v>
      </c>
      <c r="E24" s="4" t="s">
        <v>35</v>
      </c>
      <c r="F24" s="6">
        <v>5000</v>
      </c>
    </row>
    <row r="25" spans="1:10" ht="29.4" thickBot="1" x14ac:dyDescent="0.35">
      <c r="A25" s="3" t="s">
        <v>36</v>
      </c>
      <c r="B25" s="6">
        <v>-1000</v>
      </c>
      <c r="C25" s="4"/>
      <c r="D25" s="4"/>
      <c r="E25" s="4"/>
      <c r="F25" s="4"/>
    </row>
    <row r="26" spans="1:10" ht="29.4" thickBot="1" x14ac:dyDescent="0.35">
      <c r="A26" s="3" t="s">
        <v>34</v>
      </c>
      <c r="B26" s="6">
        <v>-234000</v>
      </c>
      <c r="C26" s="4"/>
      <c r="D26" s="4"/>
      <c r="E26" s="4"/>
      <c r="F26" s="4"/>
    </row>
    <row r="27" spans="1:10" ht="15" thickBot="1" x14ac:dyDescent="0.35">
      <c r="A27" s="3" t="s">
        <v>37</v>
      </c>
      <c r="B27" s="6">
        <v>13000</v>
      </c>
      <c r="C27" s="4"/>
      <c r="D27" s="4"/>
      <c r="E27" s="4"/>
      <c r="F27" s="4"/>
    </row>
    <row r="28" spans="1:10" ht="15" thickBot="1" x14ac:dyDescent="0.35">
      <c r="A28" s="3" t="s">
        <v>38</v>
      </c>
      <c r="B28" s="6">
        <v>4000</v>
      </c>
      <c r="C28" s="4"/>
      <c r="D28" s="4"/>
      <c r="E28" s="4"/>
      <c r="F28" s="4"/>
    </row>
    <row r="29" spans="1:10" ht="21.6" thickTop="1" thickBot="1" x14ac:dyDescent="0.35">
      <c r="A29" s="3" t="s">
        <v>39</v>
      </c>
      <c r="B29" s="6">
        <v>-50000</v>
      </c>
      <c r="C29" s="4"/>
      <c r="D29" s="4"/>
      <c r="E29" s="4"/>
      <c r="F29" s="4"/>
      <c r="I29" s="20" t="s">
        <v>42</v>
      </c>
      <c r="J29" s="14">
        <f>B32</f>
        <v>650000</v>
      </c>
    </row>
    <row r="30" spans="1:10" ht="15.6" thickBot="1" x14ac:dyDescent="0.35">
      <c r="A30" s="3" t="s">
        <v>40</v>
      </c>
      <c r="B30" s="6">
        <v>-10000</v>
      </c>
      <c r="C30" s="4"/>
      <c r="D30" s="4"/>
      <c r="E30" s="4"/>
      <c r="F30" s="4"/>
      <c r="I30" s="21" t="s">
        <v>43</v>
      </c>
      <c r="J30" s="15">
        <f>D32</f>
        <v>254000</v>
      </c>
    </row>
    <row r="31" spans="1:10" ht="15.6" thickBot="1" x14ac:dyDescent="0.35">
      <c r="A31" s="3" t="s">
        <v>41</v>
      </c>
      <c r="B31" s="6">
        <v>-6000</v>
      </c>
      <c r="C31" s="4"/>
      <c r="D31" s="4"/>
      <c r="E31" s="4"/>
      <c r="F31" s="4"/>
      <c r="I31" s="22" t="s">
        <v>44</v>
      </c>
      <c r="J31" s="16">
        <f>F32</f>
        <v>7000</v>
      </c>
    </row>
    <row r="32" spans="1:10" ht="15" thickBot="1" x14ac:dyDescent="0.35">
      <c r="A32" s="3" t="s">
        <v>18</v>
      </c>
      <c r="B32" s="6">
        <f>SUM(B22:B31)</f>
        <v>650000</v>
      </c>
      <c r="C32" s="4"/>
      <c r="D32" s="6">
        <f>SUM(D23:D31)</f>
        <v>254000</v>
      </c>
      <c r="E32" s="4"/>
      <c r="F32" s="6">
        <f>SUM(F23:F31)</f>
        <v>7000</v>
      </c>
    </row>
    <row r="35" spans="1:10" ht="46.8" customHeight="1" x14ac:dyDescent="0.3">
      <c r="A35" s="51" t="s">
        <v>57</v>
      </c>
      <c r="B35" s="51"/>
    </row>
    <row r="36" spans="1:10" ht="15" thickBot="1" x14ac:dyDescent="0.35">
      <c r="A36" s="17" t="s">
        <v>23</v>
      </c>
    </row>
    <row r="37" spans="1:10" ht="28.8" thickTop="1" thickBot="1" x14ac:dyDescent="0.35">
      <c r="A37" s="1"/>
      <c r="B37" s="47" t="s">
        <v>0</v>
      </c>
      <c r="C37" s="48"/>
      <c r="D37" s="49"/>
      <c r="E37" s="2" t="s">
        <v>1</v>
      </c>
      <c r="F37" s="2" t="s">
        <v>2</v>
      </c>
      <c r="G37" s="2"/>
      <c r="I37" s="11" t="s">
        <v>21</v>
      </c>
      <c r="J37" s="14">
        <f>F46</f>
        <v>62750</v>
      </c>
    </row>
    <row r="38" spans="1:10" ht="28.2" thickBot="1" x14ac:dyDescent="0.35">
      <c r="A38" s="3"/>
      <c r="B38" s="5" t="s">
        <v>3</v>
      </c>
      <c r="C38" s="5" t="s">
        <v>4</v>
      </c>
      <c r="D38" s="5" t="s">
        <v>5</v>
      </c>
      <c r="E38" s="5" t="s">
        <v>6</v>
      </c>
      <c r="F38" s="5" t="s">
        <v>7</v>
      </c>
      <c r="G38" s="5"/>
      <c r="I38" s="12" t="s">
        <v>6</v>
      </c>
      <c r="J38" s="15">
        <f>E46</f>
        <v>36000</v>
      </c>
    </row>
    <row r="39" spans="1:10" ht="29.4" thickBot="1" x14ac:dyDescent="0.35">
      <c r="A39" s="3" t="s">
        <v>8</v>
      </c>
      <c r="B39" s="7">
        <v>50000</v>
      </c>
      <c r="C39" s="7">
        <v>6000</v>
      </c>
      <c r="D39" s="7">
        <v>28000</v>
      </c>
      <c r="E39" s="7">
        <v>25000</v>
      </c>
      <c r="F39" s="7">
        <v>50000</v>
      </c>
      <c r="G39" s="5"/>
      <c r="I39" s="12" t="s">
        <v>22</v>
      </c>
      <c r="J39" s="15">
        <f>D46</f>
        <v>59000</v>
      </c>
    </row>
    <row r="40" spans="1:10" ht="15.6" thickBot="1" x14ac:dyDescent="0.35">
      <c r="A40" s="3" t="s">
        <v>9</v>
      </c>
      <c r="B40" s="7">
        <v>-6000</v>
      </c>
      <c r="C40" s="5"/>
      <c r="D40" s="5"/>
      <c r="E40" s="5"/>
      <c r="F40" s="5">
        <v>-6000</v>
      </c>
      <c r="G40" s="5" t="s">
        <v>10</v>
      </c>
      <c r="I40" s="13" t="s">
        <v>3</v>
      </c>
      <c r="J40" s="16">
        <f>B46</f>
        <v>46000</v>
      </c>
    </row>
    <row r="41" spans="1:10" ht="15" thickBot="1" x14ac:dyDescent="0.35">
      <c r="A41" s="3" t="s">
        <v>11</v>
      </c>
      <c r="B41" s="7">
        <v>-20000</v>
      </c>
      <c r="C41" s="5"/>
      <c r="D41" s="5"/>
      <c r="E41" s="7">
        <v>-20000</v>
      </c>
      <c r="F41" s="5"/>
      <c r="G41" s="5"/>
    </row>
    <row r="42" spans="1:10" ht="15" thickBot="1" x14ac:dyDescent="0.35">
      <c r="A42" s="3" t="s">
        <v>12</v>
      </c>
      <c r="B42" s="5"/>
      <c r="C42" s="5"/>
      <c r="D42" s="7">
        <v>31000</v>
      </c>
      <c r="E42" s="7">
        <v>31000</v>
      </c>
      <c r="F42" s="5"/>
      <c r="G42" s="5"/>
    </row>
    <row r="43" spans="1:10" ht="15" thickBot="1" x14ac:dyDescent="0.35">
      <c r="A43" s="3" t="s">
        <v>13</v>
      </c>
      <c r="B43" s="7">
        <v>36000</v>
      </c>
      <c r="C43" s="5"/>
      <c r="D43" s="5"/>
      <c r="E43" s="5"/>
      <c r="F43" s="7">
        <v>36000</v>
      </c>
      <c r="G43" s="5" t="s">
        <v>14</v>
      </c>
    </row>
    <row r="44" spans="1:10" ht="15" thickBot="1" x14ac:dyDescent="0.35">
      <c r="A44" s="3" t="s">
        <v>15</v>
      </c>
      <c r="B44" s="7">
        <v>-14000</v>
      </c>
      <c r="C44" s="5"/>
      <c r="D44" s="5"/>
      <c r="E44" s="5"/>
      <c r="F44" s="7">
        <v>-14000</v>
      </c>
      <c r="G44" s="5" t="s">
        <v>16</v>
      </c>
    </row>
    <row r="45" spans="1:10" ht="15" thickBot="1" x14ac:dyDescent="0.35">
      <c r="A45" s="3" t="s">
        <v>17</v>
      </c>
      <c r="B45" s="5"/>
      <c r="C45" s="5">
        <v>-3250</v>
      </c>
      <c r="D45" s="5"/>
      <c r="E45" s="5"/>
      <c r="F45" s="5">
        <v>-3250</v>
      </c>
      <c r="G45" s="5" t="s">
        <v>19</v>
      </c>
    </row>
    <row r="46" spans="1:10" ht="15" thickBot="1" x14ac:dyDescent="0.35">
      <c r="A46" s="3" t="s">
        <v>18</v>
      </c>
      <c r="B46" s="8">
        <f>SUM(B39:B45)</f>
        <v>46000</v>
      </c>
      <c r="C46" s="8">
        <f t="shared" ref="C46:F46" si="1">SUM(C39:C45)</f>
        <v>2750</v>
      </c>
      <c r="D46" s="8">
        <f t="shared" si="1"/>
        <v>59000</v>
      </c>
      <c r="E46" s="8">
        <f t="shared" si="1"/>
        <v>36000</v>
      </c>
      <c r="F46" s="8">
        <f t="shared" si="1"/>
        <v>62750</v>
      </c>
      <c r="G46" s="5"/>
    </row>
    <row r="47" spans="1:10" x14ac:dyDescent="0.3">
      <c r="A47" s="9" t="s">
        <v>20</v>
      </c>
      <c r="B47" s="10"/>
      <c r="C47" s="10"/>
      <c r="D47" s="10"/>
      <c r="E47" s="10"/>
      <c r="F47" s="10"/>
      <c r="G47" s="10"/>
      <c r="H47" s="10"/>
    </row>
    <row r="49" spans="1:10" x14ac:dyDescent="0.3">
      <c r="A49" s="18" t="s">
        <v>24</v>
      </c>
    </row>
    <row r="51" spans="1:10" x14ac:dyDescent="0.3">
      <c r="A51" s="19" t="s">
        <v>25</v>
      </c>
    </row>
    <row r="52" spans="1:10" x14ac:dyDescent="0.3">
      <c r="A52" s="25" t="s">
        <v>55</v>
      </c>
    </row>
    <row r="54" spans="1:10" ht="15" thickBot="1" x14ac:dyDescent="0.35">
      <c r="A54" s="17" t="s">
        <v>27</v>
      </c>
    </row>
    <row r="55" spans="1:10" ht="15" thickBot="1" x14ac:dyDescent="0.35">
      <c r="A55" s="45" t="s">
        <v>3</v>
      </c>
      <c r="B55" s="46"/>
      <c r="C55" s="45" t="s">
        <v>28</v>
      </c>
      <c r="D55" s="46"/>
      <c r="E55" s="45" t="s">
        <v>29</v>
      </c>
      <c r="F55" s="46"/>
    </row>
    <row r="56" spans="1:10" ht="15" thickBot="1" x14ac:dyDescent="0.35">
      <c r="A56" s="3"/>
      <c r="B56" s="6">
        <v>1200000</v>
      </c>
      <c r="C56" s="4"/>
      <c r="D56" s="4"/>
      <c r="E56" s="4"/>
      <c r="F56" s="4"/>
    </row>
    <row r="57" spans="1:10" ht="15" thickBot="1" x14ac:dyDescent="0.35">
      <c r="A57" s="3" t="s">
        <v>30</v>
      </c>
      <c r="B57" s="6">
        <v>-60000</v>
      </c>
      <c r="C57" s="4" t="s">
        <v>31</v>
      </c>
      <c r="D57" s="6">
        <v>20000</v>
      </c>
      <c r="E57" s="4" t="s">
        <v>32</v>
      </c>
      <c r="F57" s="6">
        <v>2000</v>
      </c>
    </row>
    <row r="58" spans="1:10" ht="29.4" thickBot="1" x14ac:dyDescent="0.35">
      <c r="A58" s="3" t="s">
        <v>33</v>
      </c>
      <c r="B58" s="6">
        <v>-6000</v>
      </c>
      <c r="C58" s="4" t="s">
        <v>34</v>
      </c>
      <c r="D58" s="6">
        <v>240000</v>
      </c>
      <c r="E58" s="4" t="s">
        <v>35</v>
      </c>
      <c r="F58" s="6">
        <v>5000</v>
      </c>
    </row>
    <row r="59" spans="1:10" ht="15" thickBot="1" x14ac:dyDescent="0.35">
      <c r="A59" s="3" t="s">
        <v>36</v>
      </c>
      <c r="B59" s="6">
        <v>-1000</v>
      </c>
      <c r="C59" s="4"/>
      <c r="D59" s="4"/>
      <c r="E59" s="4"/>
      <c r="F59" s="4"/>
    </row>
    <row r="60" spans="1:10" ht="15" thickBot="1" x14ac:dyDescent="0.35">
      <c r="A60" s="3" t="s">
        <v>34</v>
      </c>
      <c r="B60" s="6">
        <v>-240000</v>
      </c>
      <c r="C60" s="4"/>
      <c r="D60" s="4"/>
      <c r="E60" s="4"/>
      <c r="F60" s="4"/>
    </row>
    <row r="61" spans="1:10" ht="15" thickBot="1" x14ac:dyDescent="0.35">
      <c r="A61" s="3" t="s">
        <v>37</v>
      </c>
      <c r="B61" s="6">
        <v>15000</v>
      </c>
      <c r="C61" s="4"/>
      <c r="D61" s="4"/>
      <c r="E61" s="4"/>
      <c r="F61" s="4"/>
    </row>
    <row r="62" spans="1:10" ht="15" thickBot="1" x14ac:dyDescent="0.35">
      <c r="A62" s="3" t="s">
        <v>38</v>
      </c>
      <c r="B62" s="6">
        <v>4000</v>
      </c>
      <c r="C62" s="4"/>
      <c r="D62" s="4"/>
      <c r="E62" s="4"/>
      <c r="F62" s="4"/>
    </row>
    <row r="63" spans="1:10" ht="21.6" thickTop="1" thickBot="1" x14ac:dyDescent="0.35">
      <c r="A63" s="3" t="s">
        <v>39</v>
      </c>
      <c r="B63" s="6">
        <v>-50000</v>
      </c>
      <c r="C63" s="4"/>
      <c r="D63" s="4"/>
      <c r="E63" s="4"/>
      <c r="F63" s="4"/>
      <c r="I63" s="20" t="s">
        <v>42</v>
      </c>
      <c r="J63" s="14">
        <f>B66</f>
        <v>846000</v>
      </c>
    </row>
    <row r="64" spans="1:10" ht="15.6" thickBot="1" x14ac:dyDescent="0.35">
      <c r="A64" s="3" t="s">
        <v>40</v>
      </c>
      <c r="B64" s="6">
        <v>-10000</v>
      </c>
      <c r="C64" s="4"/>
      <c r="D64" s="4"/>
      <c r="E64" s="4"/>
      <c r="F64" s="4"/>
      <c r="I64" s="21" t="s">
        <v>43</v>
      </c>
      <c r="J64" s="15">
        <f>D66</f>
        <v>260000</v>
      </c>
    </row>
    <row r="65" spans="1:10" ht="15.6" thickBot="1" x14ac:dyDescent="0.35">
      <c r="A65" s="3" t="s">
        <v>41</v>
      </c>
      <c r="B65" s="6">
        <v>-6000</v>
      </c>
      <c r="C65" s="4"/>
      <c r="D65" s="4"/>
      <c r="E65" s="4"/>
      <c r="F65" s="4"/>
      <c r="I65" s="22" t="s">
        <v>44</v>
      </c>
      <c r="J65" s="16">
        <f>F66</f>
        <v>7000</v>
      </c>
    </row>
    <row r="66" spans="1:10" ht="15" thickBot="1" x14ac:dyDescent="0.35">
      <c r="A66" s="3" t="s">
        <v>18</v>
      </c>
      <c r="B66" s="6">
        <f>SUM(B56:B65)</f>
        <v>846000</v>
      </c>
      <c r="C66" s="4"/>
      <c r="D66" s="6">
        <f>SUM(D57:D65)</f>
        <v>260000</v>
      </c>
      <c r="E66" s="4"/>
      <c r="F66" s="6">
        <f>SUM(F57:F65)</f>
        <v>7000</v>
      </c>
    </row>
    <row r="70" spans="1:10" ht="23.4" x14ac:dyDescent="0.45">
      <c r="A70" s="52" t="s">
        <v>58</v>
      </c>
      <c r="B70" s="52"/>
    </row>
    <row r="72" spans="1:10" ht="15" thickBot="1" x14ac:dyDescent="0.35">
      <c r="A72" s="17" t="s">
        <v>23</v>
      </c>
    </row>
    <row r="73" spans="1:10" ht="28.8" thickTop="1" thickBot="1" x14ac:dyDescent="0.35">
      <c r="A73" s="1"/>
      <c r="B73" s="47" t="s">
        <v>0</v>
      </c>
      <c r="C73" s="48"/>
      <c r="D73" s="49"/>
      <c r="E73" s="2" t="s">
        <v>1</v>
      </c>
      <c r="F73" s="2" t="s">
        <v>2</v>
      </c>
      <c r="G73" s="2"/>
      <c r="I73" s="11" t="s">
        <v>21</v>
      </c>
      <c r="J73" s="14">
        <f>F82</f>
        <v>77750</v>
      </c>
    </row>
    <row r="74" spans="1:10" ht="28.2" thickBot="1" x14ac:dyDescent="0.35">
      <c r="A74" s="3"/>
      <c r="B74" s="5" t="s">
        <v>3</v>
      </c>
      <c r="C74" s="5" t="s">
        <v>4</v>
      </c>
      <c r="D74" s="5" t="s">
        <v>5</v>
      </c>
      <c r="E74" s="5" t="s">
        <v>6</v>
      </c>
      <c r="F74" s="5" t="s">
        <v>7</v>
      </c>
      <c r="G74" s="5"/>
      <c r="I74" s="12" t="s">
        <v>6</v>
      </c>
      <c r="J74" s="15">
        <f>E82</f>
        <v>31000</v>
      </c>
    </row>
    <row r="75" spans="1:10" ht="29.4" thickBot="1" x14ac:dyDescent="0.35">
      <c r="A75" s="3" t="s">
        <v>8</v>
      </c>
      <c r="B75" s="7">
        <v>40000</v>
      </c>
      <c r="C75" s="7">
        <v>6000</v>
      </c>
      <c r="D75" s="7">
        <v>45000</v>
      </c>
      <c r="E75" s="7">
        <v>20000</v>
      </c>
      <c r="F75" s="7">
        <v>65000</v>
      </c>
      <c r="G75" s="5"/>
      <c r="I75" s="12" t="s">
        <v>22</v>
      </c>
      <c r="J75" s="15">
        <f>D82</f>
        <v>76000</v>
      </c>
    </row>
    <row r="76" spans="1:10" ht="15.6" thickBot="1" x14ac:dyDescent="0.35">
      <c r="A76" s="3" t="s">
        <v>9</v>
      </c>
      <c r="B76" s="7">
        <v>-6000</v>
      </c>
      <c r="C76" s="5"/>
      <c r="D76" s="5"/>
      <c r="E76" s="5"/>
      <c r="F76" s="5">
        <v>-6000</v>
      </c>
      <c r="G76" s="5" t="s">
        <v>10</v>
      </c>
      <c r="I76" s="13" t="s">
        <v>3</v>
      </c>
      <c r="J76" s="16">
        <f>B82</f>
        <v>36000</v>
      </c>
    </row>
    <row r="77" spans="1:10" ht="15" thickBot="1" x14ac:dyDescent="0.35">
      <c r="A77" s="3" t="s">
        <v>11</v>
      </c>
      <c r="B77" s="7">
        <v>-20000</v>
      </c>
      <c r="C77" s="5"/>
      <c r="D77" s="5"/>
      <c r="E77" s="7">
        <v>-20000</v>
      </c>
      <c r="F77" s="5"/>
      <c r="G77" s="5"/>
    </row>
    <row r="78" spans="1:10" ht="15" thickBot="1" x14ac:dyDescent="0.35">
      <c r="A78" s="3" t="s">
        <v>12</v>
      </c>
      <c r="B78" s="5"/>
      <c r="C78" s="5"/>
      <c r="D78" s="7">
        <v>31000</v>
      </c>
      <c r="E78" s="7">
        <v>31000</v>
      </c>
      <c r="F78" s="5"/>
      <c r="G78" s="5"/>
    </row>
    <row r="79" spans="1:10" ht="15" thickBot="1" x14ac:dyDescent="0.35">
      <c r="A79" s="3" t="s">
        <v>13</v>
      </c>
      <c r="B79" s="7">
        <v>36000</v>
      </c>
      <c r="C79" s="5"/>
      <c r="D79" s="5"/>
      <c r="E79" s="5"/>
      <c r="F79" s="7">
        <v>36000</v>
      </c>
      <c r="G79" s="5" t="s">
        <v>14</v>
      </c>
    </row>
    <row r="80" spans="1:10" ht="15" thickBot="1" x14ac:dyDescent="0.35">
      <c r="A80" s="3" t="s">
        <v>15</v>
      </c>
      <c r="B80" s="7">
        <v>-14000</v>
      </c>
      <c r="C80" s="5"/>
      <c r="D80" s="5"/>
      <c r="E80" s="5"/>
      <c r="F80" s="7">
        <v>-14000</v>
      </c>
      <c r="G80" s="5" t="s">
        <v>16</v>
      </c>
    </row>
    <row r="81" spans="1:8" ht="15" thickBot="1" x14ac:dyDescent="0.35">
      <c r="A81" s="3" t="s">
        <v>17</v>
      </c>
      <c r="B81" s="5"/>
      <c r="C81" s="5">
        <v>-3250</v>
      </c>
      <c r="D81" s="5"/>
      <c r="E81" s="5"/>
      <c r="F81" s="5">
        <v>-3250</v>
      </c>
      <c r="G81" s="5" t="s">
        <v>19</v>
      </c>
    </row>
    <row r="82" spans="1:8" ht="15" thickBot="1" x14ac:dyDescent="0.35">
      <c r="A82" s="3" t="s">
        <v>18</v>
      </c>
      <c r="B82" s="8">
        <f>SUM(B75:B81)</f>
        <v>36000</v>
      </c>
      <c r="C82" s="8">
        <f t="shared" ref="C82:F82" si="2">SUM(C75:C81)</f>
        <v>2750</v>
      </c>
      <c r="D82" s="8">
        <f t="shared" si="2"/>
        <v>76000</v>
      </c>
      <c r="E82" s="8">
        <f t="shared" si="2"/>
        <v>31000</v>
      </c>
      <c r="F82" s="8">
        <f t="shared" si="2"/>
        <v>77750</v>
      </c>
      <c r="G82" s="5"/>
    </row>
    <row r="83" spans="1:8" x14ac:dyDescent="0.3">
      <c r="A83" s="9" t="s">
        <v>20</v>
      </c>
      <c r="B83" s="10"/>
      <c r="C83" s="10"/>
      <c r="D83" s="10"/>
      <c r="E83" s="10"/>
      <c r="F83" s="10"/>
      <c r="G83" s="10"/>
      <c r="H83" s="10"/>
    </row>
    <row r="85" spans="1:8" x14ac:dyDescent="0.3">
      <c r="A85" s="18" t="s">
        <v>24</v>
      </c>
    </row>
    <row r="87" spans="1:8" x14ac:dyDescent="0.3">
      <c r="A87" s="19" t="s">
        <v>25</v>
      </c>
    </row>
    <row r="88" spans="1:8" x14ac:dyDescent="0.3">
      <c r="A88" s="25" t="s">
        <v>59</v>
      </c>
    </row>
    <row r="90" spans="1:8" ht="15" thickBot="1" x14ac:dyDescent="0.35">
      <c r="A90" s="17" t="s">
        <v>27</v>
      </c>
    </row>
    <row r="91" spans="1:8" ht="15" thickBot="1" x14ac:dyDescent="0.35">
      <c r="A91" s="45" t="s">
        <v>3</v>
      </c>
      <c r="B91" s="46"/>
      <c r="C91" s="45" t="s">
        <v>28</v>
      </c>
      <c r="D91" s="46"/>
      <c r="E91" s="45" t="s">
        <v>29</v>
      </c>
      <c r="F91" s="46"/>
    </row>
    <row r="92" spans="1:8" ht="15" thickBot="1" x14ac:dyDescent="0.35">
      <c r="A92" s="3"/>
      <c r="B92" s="6">
        <v>1100000</v>
      </c>
      <c r="C92" s="4"/>
      <c r="D92" s="4"/>
      <c r="E92" s="4"/>
      <c r="F92" s="4"/>
    </row>
    <row r="93" spans="1:8" ht="15" thickBot="1" x14ac:dyDescent="0.35">
      <c r="A93" s="3" t="s">
        <v>30</v>
      </c>
      <c r="B93" s="6">
        <v>-60000</v>
      </c>
      <c r="C93" s="4" t="s">
        <v>31</v>
      </c>
      <c r="D93" s="6">
        <v>20000</v>
      </c>
      <c r="E93" s="4" t="s">
        <v>32</v>
      </c>
      <c r="F93" s="6">
        <v>2000</v>
      </c>
    </row>
    <row r="94" spans="1:8" ht="29.4" thickBot="1" x14ac:dyDescent="0.35">
      <c r="A94" s="3" t="s">
        <v>33</v>
      </c>
      <c r="B94" s="6">
        <v>-6000</v>
      </c>
      <c r="C94" s="4" t="s">
        <v>34</v>
      </c>
      <c r="D94" s="6">
        <v>250000</v>
      </c>
      <c r="E94" s="4" t="s">
        <v>35</v>
      </c>
      <c r="F94" s="6">
        <v>5000</v>
      </c>
    </row>
    <row r="95" spans="1:8" ht="15" thickBot="1" x14ac:dyDescent="0.35">
      <c r="A95" s="3" t="s">
        <v>36</v>
      </c>
      <c r="B95" s="6">
        <v>-1000</v>
      </c>
      <c r="C95" s="4"/>
      <c r="D95" s="4"/>
      <c r="E95" s="4"/>
      <c r="F95" s="4"/>
    </row>
    <row r="96" spans="1:8" ht="15" thickBot="1" x14ac:dyDescent="0.35">
      <c r="A96" s="3" t="s">
        <v>34</v>
      </c>
      <c r="B96" s="6">
        <v>-250000</v>
      </c>
      <c r="C96" s="4"/>
      <c r="D96" s="4"/>
      <c r="E96" s="4"/>
      <c r="F96" s="4"/>
    </row>
    <row r="97" spans="1:10" ht="15" thickBot="1" x14ac:dyDescent="0.35">
      <c r="A97" s="3" t="s">
        <v>37</v>
      </c>
      <c r="B97" s="6">
        <v>20000</v>
      </c>
      <c r="C97" s="4"/>
      <c r="D97" s="4"/>
      <c r="E97" s="4"/>
      <c r="F97" s="4"/>
    </row>
    <row r="98" spans="1:10" ht="15" thickBot="1" x14ac:dyDescent="0.35">
      <c r="A98" s="3" t="s">
        <v>38</v>
      </c>
      <c r="B98" s="6">
        <v>4000</v>
      </c>
      <c r="C98" s="4"/>
      <c r="D98" s="4"/>
      <c r="E98" s="4"/>
      <c r="F98" s="4"/>
    </row>
    <row r="99" spans="1:10" ht="21.6" thickTop="1" thickBot="1" x14ac:dyDescent="0.35">
      <c r="A99" s="3" t="s">
        <v>39</v>
      </c>
      <c r="B99" s="6">
        <v>-50000</v>
      </c>
      <c r="C99" s="4"/>
      <c r="D99" s="4"/>
      <c r="E99" s="4"/>
      <c r="F99" s="4"/>
      <c r="I99" s="20" t="s">
        <v>42</v>
      </c>
      <c r="J99" s="14">
        <f>B102</f>
        <v>741000</v>
      </c>
    </row>
    <row r="100" spans="1:10" ht="15.6" thickBot="1" x14ac:dyDescent="0.35">
      <c r="A100" s="3" t="s">
        <v>40</v>
      </c>
      <c r="B100" s="6">
        <v>-10000</v>
      </c>
      <c r="C100" s="4"/>
      <c r="D100" s="4"/>
      <c r="E100" s="4"/>
      <c r="F100" s="4"/>
      <c r="I100" s="21" t="s">
        <v>43</v>
      </c>
      <c r="J100" s="15">
        <f>D102</f>
        <v>270000</v>
      </c>
    </row>
    <row r="101" spans="1:10" ht="15.6" thickBot="1" x14ac:dyDescent="0.35">
      <c r="A101" s="3" t="s">
        <v>41</v>
      </c>
      <c r="B101" s="6">
        <v>-6000</v>
      </c>
      <c r="C101" s="4"/>
      <c r="D101" s="4"/>
      <c r="E101" s="4"/>
      <c r="F101" s="4"/>
      <c r="I101" s="22" t="s">
        <v>44</v>
      </c>
      <c r="J101" s="16">
        <f>F102</f>
        <v>7000</v>
      </c>
    </row>
    <row r="102" spans="1:10" ht="15" thickBot="1" x14ac:dyDescent="0.35">
      <c r="A102" s="3" t="s">
        <v>18</v>
      </c>
      <c r="B102" s="6">
        <f>SUM(B92:B101)</f>
        <v>741000</v>
      </c>
      <c r="C102" s="4"/>
      <c r="D102" s="6">
        <f>SUM(D93:D101)</f>
        <v>270000</v>
      </c>
      <c r="E102" s="4"/>
      <c r="F102" s="6">
        <f>SUM(F93:F101)</f>
        <v>7000</v>
      </c>
    </row>
  </sheetData>
  <mergeCells count="14">
    <mergeCell ref="B3:D3"/>
    <mergeCell ref="A21:B21"/>
    <mergeCell ref="C21:D21"/>
    <mergeCell ref="E21:F21"/>
    <mergeCell ref="B37:D37"/>
    <mergeCell ref="A35:B35"/>
    <mergeCell ref="A55:B55"/>
    <mergeCell ref="C55:D55"/>
    <mergeCell ref="E55:F55"/>
    <mergeCell ref="B73:D73"/>
    <mergeCell ref="A91:B91"/>
    <mergeCell ref="C91:D91"/>
    <mergeCell ref="E91:F91"/>
    <mergeCell ref="A70:B70"/>
  </mergeCells>
  <pageMargins left="0.7" right="0.7" top="0.75" bottom="0.75" header="0.3" footer="0.3"/>
  <pageSetup paperSize="9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8FE0-B98C-4112-838A-BA266816AF66}">
  <dimension ref="A1:I28"/>
  <sheetViews>
    <sheetView workbookViewId="0">
      <selection activeCell="H1" sqref="H1"/>
    </sheetView>
  </sheetViews>
  <sheetFormatPr defaultRowHeight="14.4" x14ac:dyDescent="0.3"/>
  <cols>
    <col min="1" max="1" width="47.77734375" customWidth="1"/>
    <col min="2" max="2" width="11.77734375" customWidth="1"/>
    <col min="3" max="7" width="9.21875" bestFit="1" customWidth="1"/>
    <col min="8" max="8" width="5" customWidth="1"/>
  </cols>
  <sheetData>
    <row r="1" spans="1:9" ht="25.05" customHeight="1" x14ac:dyDescent="0.3">
      <c r="A1" s="39"/>
      <c r="B1" s="26" t="s">
        <v>45</v>
      </c>
      <c r="C1" s="27" t="s">
        <v>46</v>
      </c>
      <c r="D1" s="26" t="s">
        <v>47</v>
      </c>
      <c r="E1" s="27" t="s">
        <v>48</v>
      </c>
      <c r="F1" s="26" t="s">
        <v>49</v>
      </c>
      <c r="G1" s="29" t="s">
        <v>50</v>
      </c>
    </row>
    <row r="2" spans="1:9" ht="25.05" customHeight="1" x14ac:dyDescent="0.4">
      <c r="A2" s="44" t="s">
        <v>51</v>
      </c>
      <c r="B2" s="24"/>
      <c r="C2" s="28"/>
      <c r="D2" s="24"/>
      <c r="E2" s="28"/>
      <c r="F2" s="24"/>
      <c r="G2" s="30"/>
    </row>
    <row r="3" spans="1:9" ht="30" customHeight="1" x14ac:dyDescent="0.3">
      <c r="A3" s="37" t="s">
        <v>21</v>
      </c>
      <c r="B3" s="31">
        <v>74750</v>
      </c>
      <c r="C3" s="32">
        <v>62750</v>
      </c>
      <c r="D3" s="31">
        <v>77750</v>
      </c>
      <c r="E3" s="32">
        <v>74750</v>
      </c>
      <c r="F3" s="31">
        <v>62750</v>
      </c>
      <c r="G3" s="33">
        <v>77750</v>
      </c>
    </row>
    <row r="4" spans="1:9" ht="30" customHeight="1" x14ac:dyDescent="0.3">
      <c r="A4" s="37" t="s">
        <v>6</v>
      </c>
      <c r="B4" s="31">
        <v>41000</v>
      </c>
      <c r="C4" s="32">
        <v>36000</v>
      </c>
      <c r="D4" s="31">
        <v>31000</v>
      </c>
      <c r="E4" s="32">
        <v>41000</v>
      </c>
      <c r="F4" s="31">
        <v>36000</v>
      </c>
      <c r="G4" s="33">
        <v>31000</v>
      </c>
      <c r="I4" t="s">
        <v>61</v>
      </c>
    </row>
    <row r="5" spans="1:9" ht="30" customHeight="1" x14ac:dyDescent="0.3">
      <c r="A5" s="37" t="s">
        <v>22</v>
      </c>
      <c r="B5" s="31">
        <v>63000</v>
      </c>
      <c r="C5" s="32">
        <v>59000</v>
      </c>
      <c r="D5" s="31">
        <v>76000</v>
      </c>
      <c r="E5" s="32">
        <v>63000</v>
      </c>
      <c r="F5" s="31">
        <v>59000</v>
      </c>
      <c r="G5" s="33">
        <v>76000</v>
      </c>
    </row>
    <row r="6" spans="1:9" ht="30" customHeight="1" x14ac:dyDescent="0.3">
      <c r="A6" s="37" t="s">
        <v>3</v>
      </c>
      <c r="B6" s="31">
        <v>50000</v>
      </c>
      <c r="C6" s="32">
        <v>46000</v>
      </c>
      <c r="D6" s="31">
        <v>36000</v>
      </c>
      <c r="E6" s="32">
        <v>50000</v>
      </c>
      <c r="F6" s="31">
        <v>46000</v>
      </c>
      <c r="G6" s="33">
        <v>36000</v>
      </c>
    </row>
    <row r="7" spans="1:9" ht="30" customHeight="1" x14ac:dyDescent="0.3">
      <c r="A7" s="43" t="s">
        <v>52</v>
      </c>
      <c r="B7" s="41"/>
      <c r="C7" s="41"/>
      <c r="D7" s="41"/>
      <c r="E7" s="41"/>
      <c r="F7" s="41"/>
      <c r="G7" s="42"/>
    </row>
    <row r="8" spans="1:9" ht="30" customHeight="1" x14ac:dyDescent="0.3">
      <c r="A8" s="37" t="s">
        <v>53</v>
      </c>
      <c r="B8" s="31">
        <v>30000</v>
      </c>
      <c r="C8" s="32">
        <v>40000</v>
      </c>
      <c r="D8" s="31">
        <v>50000</v>
      </c>
      <c r="E8" s="32">
        <v>30000</v>
      </c>
      <c r="F8" s="31">
        <v>40000</v>
      </c>
      <c r="G8" s="33">
        <v>50000</v>
      </c>
      <c r="I8" t="s">
        <v>60</v>
      </c>
    </row>
    <row r="9" spans="1:9" ht="30" customHeight="1" x14ac:dyDescent="0.3">
      <c r="A9" s="40"/>
      <c r="B9" s="41"/>
      <c r="C9" s="41"/>
      <c r="D9" s="41"/>
      <c r="E9" s="41"/>
      <c r="F9" s="41"/>
      <c r="G9" s="42"/>
    </row>
    <row r="10" spans="1:9" ht="30" customHeight="1" x14ac:dyDescent="0.3">
      <c r="A10" s="43" t="s">
        <v>54</v>
      </c>
      <c r="B10" s="41"/>
      <c r="C10" s="41"/>
      <c r="D10" s="41"/>
      <c r="E10" s="41"/>
      <c r="F10" s="41"/>
      <c r="G10" s="42"/>
    </row>
    <row r="11" spans="1:9" ht="30" customHeight="1" x14ac:dyDescent="0.3">
      <c r="A11" s="37" t="s">
        <v>42</v>
      </c>
      <c r="B11" s="31">
        <v>650000</v>
      </c>
      <c r="C11" s="32">
        <v>846000</v>
      </c>
      <c r="D11" s="31">
        <v>741000</v>
      </c>
      <c r="E11" s="32">
        <v>650000</v>
      </c>
      <c r="F11" s="31">
        <v>846000</v>
      </c>
      <c r="G11" s="33">
        <v>741000</v>
      </c>
      <c r="I11" t="s">
        <v>60</v>
      </c>
    </row>
    <row r="12" spans="1:9" ht="30" customHeight="1" x14ac:dyDescent="0.3">
      <c r="A12" s="37" t="s">
        <v>43</v>
      </c>
      <c r="B12" s="31">
        <v>254000</v>
      </c>
      <c r="C12" s="32">
        <v>260000</v>
      </c>
      <c r="D12" s="31">
        <v>270000</v>
      </c>
      <c r="E12" s="32">
        <v>254000</v>
      </c>
      <c r="F12" s="31">
        <v>260000</v>
      </c>
      <c r="G12" s="33">
        <v>270000</v>
      </c>
      <c r="I12" t="s">
        <v>62</v>
      </c>
    </row>
    <row r="13" spans="1:9" ht="30" customHeight="1" x14ac:dyDescent="0.3">
      <c r="A13" s="38" t="s">
        <v>44</v>
      </c>
      <c r="B13" s="34">
        <v>7000</v>
      </c>
      <c r="C13" s="35">
        <v>7000</v>
      </c>
      <c r="D13" s="34">
        <v>7000</v>
      </c>
      <c r="E13" s="35">
        <v>7000</v>
      </c>
      <c r="F13" s="34">
        <v>7000</v>
      </c>
      <c r="G13" s="36">
        <v>7000</v>
      </c>
      <c r="I13" t="s">
        <v>62</v>
      </c>
    </row>
    <row r="14" spans="1:9" x14ac:dyDescent="0.3">
      <c r="A14" s="23"/>
      <c r="B14" s="23"/>
      <c r="C14" s="23"/>
      <c r="D14" s="23"/>
      <c r="E14" s="23"/>
      <c r="F14" s="23"/>
      <c r="G14" s="23"/>
    </row>
    <row r="15" spans="1:9" x14ac:dyDescent="0.3">
      <c r="A15" s="23"/>
      <c r="B15" s="23"/>
      <c r="C15" s="23"/>
      <c r="D15" s="23"/>
      <c r="E15" s="23"/>
      <c r="F15" s="23"/>
      <c r="G15" s="23"/>
    </row>
    <row r="16" spans="1:9" x14ac:dyDescent="0.3">
      <c r="A16" s="23"/>
      <c r="B16" s="23"/>
      <c r="C16" s="23"/>
      <c r="D16" s="23"/>
      <c r="E16" s="23"/>
      <c r="F16" s="23"/>
      <c r="G16" s="23"/>
    </row>
    <row r="17" spans="1:7" x14ac:dyDescent="0.3">
      <c r="A17" s="23"/>
      <c r="B17" s="23"/>
      <c r="C17" s="23"/>
      <c r="D17" s="23"/>
      <c r="E17" s="23"/>
      <c r="F17" s="23"/>
      <c r="G17" s="23"/>
    </row>
    <row r="18" spans="1:7" x14ac:dyDescent="0.3">
      <c r="A18" s="23"/>
      <c r="B18" s="23"/>
      <c r="C18" s="23"/>
      <c r="D18" s="23"/>
      <c r="E18" s="23"/>
      <c r="F18" s="23"/>
      <c r="G18" s="23"/>
    </row>
    <row r="19" spans="1:7" x14ac:dyDescent="0.3">
      <c r="A19" s="23"/>
      <c r="B19" s="23"/>
      <c r="C19" s="23"/>
      <c r="D19" s="23"/>
      <c r="E19" s="23"/>
      <c r="F19" s="23"/>
      <c r="G19" s="23"/>
    </row>
    <row r="20" spans="1:7" x14ac:dyDescent="0.3">
      <c r="A20" s="23"/>
      <c r="B20" s="23"/>
      <c r="C20" s="23"/>
      <c r="D20" s="23"/>
      <c r="E20" s="23"/>
      <c r="F20" s="23"/>
      <c r="G20" s="23"/>
    </row>
    <row r="21" spans="1:7" x14ac:dyDescent="0.3">
      <c r="A21" s="23"/>
      <c r="B21" s="23"/>
      <c r="C21" s="23"/>
      <c r="D21" s="23"/>
      <c r="E21" s="23"/>
      <c r="F21" s="23"/>
      <c r="G21" s="23"/>
    </row>
    <row r="22" spans="1:7" x14ac:dyDescent="0.3">
      <c r="A22" s="23"/>
      <c r="B22" s="23"/>
      <c r="C22" s="23"/>
      <c r="D22" s="23"/>
      <c r="E22" s="23"/>
      <c r="F22" s="23"/>
      <c r="G22" s="23"/>
    </row>
    <row r="23" spans="1:7" x14ac:dyDescent="0.3">
      <c r="A23" s="23"/>
      <c r="B23" s="23"/>
      <c r="C23" s="23"/>
      <c r="D23" s="23"/>
      <c r="E23" s="23"/>
      <c r="F23" s="23"/>
      <c r="G23" s="23"/>
    </row>
    <row r="24" spans="1:7" x14ac:dyDescent="0.3">
      <c r="A24" s="23"/>
      <c r="B24" s="23"/>
      <c r="C24" s="23"/>
      <c r="D24" s="23"/>
      <c r="E24" s="23"/>
      <c r="F24" s="23"/>
      <c r="G24" s="23"/>
    </row>
    <row r="25" spans="1:7" x14ac:dyDescent="0.3">
      <c r="A25" s="23"/>
      <c r="B25" s="23"/>
      <c r="C25" s="23"/>
      <c r="D25" s="23"/>
      <c r="E25" s="23"/>
      <c r="F25" s="23"/>
      <c r="G25" s="23"/>
    </row>
    <row r="26" spans="1:7" x14ac:dyDescent="0.3">
      <c r="A26" s="23"/>
      <c r="B26" s="23"/>
      <c r="C26" s="23"/>
      <c r="D26" s="23"/>
      <c r="E26" s="23"/>
      <c r="F26" s="23"/>
      <c r="G26" s="23"/>
    </row>
    <row r="27" spans="1:7" x14ac:dyDescent="0.3">
      <c r="A27" s="23"/>
      <c r="B27" s="23"/>
      <c r="C27" s="23"/>
      <c r="D27" s="23"/>
      <c r="E27" s="23"/>
      <c r="F27" s="23"/>
      <c r="G27" s="23"/>
    </row>
    <row r="28" spans="1:7" x14ac:dyDescent="0.3">
      <c r="A28" s="23"/>
      <c r="B28" s="23"/>
      <c r="C28" s="23"/>
      <c r="D28" s="23"/>
      <c r="E28" s="23"/>
      <c r="F28" s="23"/>
      <c r="G28" s="23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headerFooter>
    <oddHeader xml:space="preserve">&amp;C&amp;"Times New Roman,Bold"&amp;14QUIZ 2 (Monsoon 2025)&amp;"-,Regular"&amp;11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Vajpayee</dc:creator>
  <cp:lastModifiedBy>Pankaj Vajpayee</cp:lastModifiedBy>
  <cp:lastPrinted>2025-10-07T04:27:41Z</cp:lastPrinted>
  <dcterms:created xsi:type="dcterms:W3CDTF">2025-10-05T03:54:38Z</dcterms:created>
  <dcterms:modified xsi:type="dcterms:W3CDTF">2025-10-07T04:28:05Z</dcterms:modified>
</cp:coreProperties>
</file>